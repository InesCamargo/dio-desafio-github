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cfdafd0b5a4216/Documentos/"/>
    </mc:Choice>
  </mc:AlternateContent>
  <xr:revisionPtr revIDLastSave="673" documentId="8_{68161BAA-4228-4D0D-A168-587A4100C837}" xr6:coauthVersionLast="47" xr6:coauthVersionMax="47" xr10:uidLastSave="{625E87F4-21E4-462E-9728-B2CFDCE6E2E3}"/>
  <bookViews>
    <workbookView xWindow="-120" yWindow="-120" windowWidth="29040" windowHeight="15720" tabRatio="413" firstSheet="3" activeTab="3" xr2:uid="{1EF156D9-77D3-42EA-BC9A-12D1E41C15AD}"/>
  </bookViews>
  <sheets>
    <sheet name="ASSETS" sheetId="2" state="hidden" r:id="rId1"/>
    <sheet name="Planilha4" sheetId="17" state="hidden" r:id="rId2"/>
    <sheet name="BASE" sheetId="1" state="hidden" r:id="rId3"/>
    <sheet name="Planilha5" sheetId="18" r:id="rId4"/>
  </sheets>
  <definedNames>
    <definedName name="_xlnm._FilterDatabase" localSheetId="2" hidden="1">BASE!$A$1:$E$37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AB810-B06E-495C-A888-25326E9E726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<sst xmlns="http://schemas.openxmlformats.org/spreadsheetml/2006/main" count="104" uniqueCount="40">
  <si>
    <t>Mes</t>
  </si>
  <si>
    <t>Nicho</t>
  </si>
  <si>
    <t>Office_Vendas</t>
  </si>
  <si>
    <t>Concorrente_Vendas</t>
  </si>
  <si>
    <t>Mercado_Total</t>
  </si>
  <si>
    <t>Jan</t>
  </si>
  <si>
    <t>Cloud</t>
  </si>
  <si>
    <t>Produtividade</t>
  </si>
  <si>
    <t>Colaboracao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</si>
  <si>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</si>
  <si>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</si>
  <si>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</si>
  <si>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</si>
  <si>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</si>
  <si>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</si>
  <si>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</si>
  <si>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</si>
  <si>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</si>
  <si>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</si>
  <si>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</si>
  <si>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B1191B</t>
  </si>
  <si>
    <t>EC283F</t>
  </si>
  <si>
    <t>D83B01</t>
  </si>
  <si>
    <t>F18C00</t>
  </si>
  <si>
    <t xml:space="preserve">Vermelho: </t>
  </si>
  <si>
    <t xml:space="preserve">Vermelho brilhante: </t>
  </si>
  <si>
    <t xml:space="preserve">Laranja: </t>
  </si>
  <si>
    <t xml:space="preserve">Laranja brilhante: </t>
  </si>
  <si>
    <t>Soma de Office_Vendas</t>
  </si>
  <si>
    <t>Soma de Mercado_Total</t>
  </si>
  <si>
    <t>Rótulos de Linha</t>
  </si>
  <si>
    <t>Total Geral</t>
  </si>
  <si>
    <t>Rótulos de Coluna</t>
  </si>
  <si>
    <t>Total Soma de Office_Vendas</t>
  </si>
  <si>
    <t>Total Soma de Mercado_Total</t>
  </si>
  <si>
    <t>% Office_Vendas</t>
  </si>
  <si>
    <t>Soma de % Office_Vendas</t>
  </si>
  <si>
    <t>Total Soma de % Office_Vendas</t>
  </si>
  <si>
    <t>INSERÇÃO OFFICE PRODUTIVIDADE E COLABORAÇÃO.</t>
  </si>
  <si>
    <t>SUGESTÃO: Trabalhar afetividade para faixa etária a partir de 40 anos e memes para gerações atuais.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</si>
</sst>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EE0000"/>
      <name val="Aptos"/>
      <family val="2"/>
    </font>
    <font>
      <sz val="11"/>
      <color rgb="FFFF9933"/>
      <name val="Aptos"/>
      <family val="2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283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[Pasta1.xlsx]Planilha4!Tabela dinâmica5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Planilha4!$B$3:$B$5</c:f>
              <c:strCache>
                <c:ptCount val="1"/>
                <c:pt idx="0">
                  <c:v>Soma de Mercado_Total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Planilha4!$B$6:$B$7</c:f>
              <c:numCache>
                <c:formatCode>General</c:formatCode>
                <c:ptCount val="1"/>
                <c:pt idx="0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A-4BD2-BEC6-335E68122F83}"/>
            </c:ext>
          </c:extLst>
        </c:ser>
        <c:ser>
          <c:idx val="1"/>
          <c:order val="1"/>
          <c:tx>
            <c:strRef>
              <c:f>Planilha4!$C$3:$C$5</c:f>
              <c:strCache>
                <c:ptCount val="1"/>
                <c:pt idx="0">
                  <c:v>Soma de Mercado_Total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Planilha4!$C$6:$C$7</c:f>
              <c:numCache>
                <c:formatCode>General</c:formatCode>
                <c:ptCount val="1"/>
                <c:pt idx="0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A-4BD2-BEC6-335E68122F83}"/>
            </c:ext>
          </c:extLst>
        </c:ser>
        <c:ser>
          <c:idx val="2"/>
          <c:order val="2"/>
          <c:tx>
            <c:strRef>
              <c:f>Planilha4!$D$3:$D$5</c:f>
              <c:strCache>
                <c:ptCount val="1"/>
                <c:pt idx="0">
                  <c:v>Soma de % Office_Vendas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Planilha4!$D$6:$D$7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A-4BD2-BEC6-335E68122F83}"/>
            </c:ext>
          </c:extLst>
        </c:ser>
        <c:ser>
          <c:idx val="3"/>
          <c:order val="3"/>
          <c:tx>
            <c:strRef>
              <c:f>Planilha4!$E$3:$E$5</c:f>
              <c:strCache>
                <c:ptCount val="1"/>
                <c:pt idx="0">
                  <c:v>Soma de % Office_Vendas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Planilha4!$E$6:$E$7</c:f>
              <c:numCache>
                <c:formatCode>0.00%</c:formatCode>
                <c:ptCount val="1"/>
                <c:pt idx="0">
                  <c:v>0.48749999999999999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A-4BD2-BEC6-335E68122F83}"/>
            </c:ext>
          </c:extLst>
        </c:ser>
        <c:ser>
          <c:idx val="4"/>
          <c:order val="4"/>
          <c:tx>
            <c:strRef>
              <c:f>Planilha4!$F$3:$F$5</c:f>
              <c:strCache>
                <c:ptCount val="1"/>
                <c:pt idx="0">
                  <c:v>Soma de Office_Vendas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Planilha4!$F$6:$F$7</c:f>
              <c:numCache>
                <c:formatCode>General</c:formatCode>
                <c:ptCount val="1"/>
                <c:pt idx="0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1A-4BD2-BEC6-335E68122F83}"/>
            </c:ext>
          </c:extLst>
        </c:ser>
        <c:ser>
          <c:idx val="5"/>
          <c:order val="5"/>
          <c:tx>
            <c:strRef>
              <c:f>Planilha4!$G$3:$G$5</c:f>
              <c:strCache>
                <c:ptCount val="1"/>
                <c:pt idx="0">
                  <c:v>Soma de Office_Vendas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Planilha4!$G$6:$G$7</c:f>
              <c:numCache>
                <c:formatCode>General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1A-4BD2-BEC6-335E68122F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90483535"/>
        <c:axId val="690479215"/>
      </c:barChart>
      <c:catAx>
        <c:axId val="69048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479215"/>
        <c:crosses val="autoZero"/>
        <c:auto val="1"/>
        <c:lblAlgn val="ctr"/>
        <c:lblOffset val="100"/>
        <c:noMultiLvlLbl val="0"/>
      </c:catAx>
      <c:valAx>
        <c:axId val="69047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48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[Pasta1.xlsx]Planilha4!Tabela dinâmica5</c:name>
    <c:fmtId val="3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6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5"/>
          <c:spPr>
            <a:noFill/>
            <a:ln w="9525">
              <a:solidFill>
                <a:schemeClr val="accent6">
                  <a:tint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6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tar"/>
          <c:size val="5"/>
          <c:spPr>
            <a:noFill/>
            <a:ln w="9525">
              <a:solidFill>
                <a:schemeClr val="accent6">
                  <a:tint val="7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Planilha4!$B$3:$B$5</c:f>
              <c:strCache>
                <c:ptCount val="1"/>
                <c:pt idx="0">
                  <c:v>Soma de Mercado_Total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Planilha4!$B$6:$B$7</c:f>
              <c:numCache>
                <c:formatCode>General</c:formatCode>
                <c:ptCount val="1"/>
                <c:pt idx="0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09E-8167-5926A05F3668}"/>
            </c:ext>
          </c:extLst>
        </c:ser>
        <c:ser>
          <c:idx val="1"/>
          <c:order val="1"/>
          <c:tx>
            <c:strRef>
              <c:f>Planilha4!$C$3:$C$5</c:f>
              <c:strCache>
                <c:ptCount val="1"/>
                <c:pt idx="0">
                  <c:v>Soma de Mercado_Total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Planilha4!$C$6:$C$7</c:f>
              <c:numCache>
                <c:formatCode>General</c:formatCode>
                <c:ptCount val="1"/>
                <c:pt idx="0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0-409E-8167-5926A05F3668}"/>
            </c:ext>
          </c:extLst>
        </c:ser>
        <c:ser>
          <c:idx val="2"/>
          <c:order val="2"/>
          <c:tx>
            <c:strRef>
              <c:f>Planilha4!$D$3:$D$5</c:f>
              <c:strCache>
                <c:ptCount val="1"/>
                <c:pt idx="0">
                  <c:v>Soma de % Office_Vendas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Planilha4!$D$6:$D$7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00-409E-8167-5926A05F3668}"/>
            </c:ext>
          </c:extLst>
        </c:ser>
        <c:ser>
          <c:idx val="3"/>
          <c:order val="3"/>
          <c:tx>
            <c:strRef>
              <c:f>Planilha4!$E$3:$E$5</c:f>
              <c:strCache>
                <c:ptCount val="1"/>
                <c:pt idx="0">
                  <c:v>Soma de % Office_Vendas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Planilha4!$E$6:$E$7</c:f>
              <c:numCache>
                <c:formatCode>0.00%</c:formatCode>
                <c:ptCount val="1"/>
                <c:pt idx="0">
                  <c:v>0.48749999999999999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00-409E-8167-5926A05F3668}"/>
            </c:ext>
          </c:extLst>
        </c:ser>
        <c:ser>
          <c:idx val="4"/>
          <c:order val="4"/>
          <c:tx>
            <c:strRef>
              <c:f>Planilha4!$F$3:$F$5</c:f>
              <c:strCache>
                <c:ptCount val="1"/>
                <c:pt idx="0">
                  <c:v>Soma de Office_Vendas - Colaboracao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Planilha4!$F$6:$F$7</c:f>
              <c:numCache>
                <c:formatCode>General</c:formatCode>
                <c:ptCount val="1"/>
                <c:pt idx="0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00-409E-8167-5926A05F3668}"/>
            </c:ext>
          </c:extLst>
        </c:ser>
        <c:ser>
          <c:idx val="5"/>
          <c:order val="5"/>
          <c:tx>
            <c:strRef>
              <c:f>Planilha4!$G$3:$G$5</c:f>
              <c:strCache>
                <c:ptCount val="1"/>
                <c:pt idx="0">
                  <c:v>Soma de Office_Vendas - Produtividade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Planilha4!$A$6:$A$7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Planilha4!$G$6:$G$7</c:f>
              <c:numCache>
                <c:formatCode>General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00-409E-8167-5926A05F3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90483535"/>
        <c:axId val="690479215"/>
      </c:barChart>
      <c:catAx>
        <c:axId val="69048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479215"/>
        <c:crosses val="autoZero"/>
        <c:auto val="1"/>
        <c:lblAlgn val="ctr"/>
        <c:lblOffset val="100"/>
        <c:noMultiLvlLbl val="0"/>
      </c:catAx>
      <c:valAx>
        <c:axId val="69047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48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0</xdr:row>
      <xdr:rowOff>161925</xdr:rowOff>
    </xdr:from>
    <xdr:to>
      <xdr:col>7</xdr:col>
      <xdr:colOff>542925</xdr:colOff>
      <xdr:row>3</xdr:row>
      <xdr:rowOff>38100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A81A2ADA-E202-3C24-A214-92FB01F1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34000" y="1619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0</xdr:row>
      <xdr:rowOff>133350</xdr:rowOff>
    </xdr:from>
    <xdr:to>
      <xdr:col>5</xdr:col>
      <xdr:colOff>142875</xdr:colOff>
      <xdr:row>3</xdr:row>
      <xdr:rowOff>9525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C71330E9-FC0A-3DDA-36F2-BFCC2468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62350" y="133350"/>
          <a:ext cx="4762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452437</xdr:colOff>
      <xdr:row>8</xdr:row>
      <xdr:rowOff>123825</xdr:rowOff>
    </xdr:from>
    <xdr:to>
      <xdr:col>8</xdr:col>
      <xdr:colOff>476250</xdr:colOff>
      <xdr:row>41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29FD11-FC10-6642-E3EF-DD6840109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1076326</xdr:colOff>
      <xdr:row>3</xdr:row>
      <xdr:rowOff>114300</xdr:rowOff>
    </xdr:from>
    <xdr:to>
      <xdr:col>13</xdr:col>
      <xdr:colOff>1319214</xdr:colOff>
      <xdr:row>36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35BCAC-FAB6-4AF3-AECB-BA595B956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180975</xdr:colOff>
      <xdr:row>2</xdr:row>
      <xdr:rowOff>0</xdr:rowOff>
    </xdr:from>
    <xdr:to>
      <xdr:col>1</xdr:col>
      <xdr:colOff>733425</xdr:colOff>
      <xdr:row>13</xdr:row>
      <xdr:rowOff>19168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25911D-7242-C03F-18FF-1211536B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523875"/>
          <a:ext cx="2247900" cy="22194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ês Camargo" refreshedDate="46025.711901736111" createdVersion="8" refreshedVersion="8" minRefreshableVersion="3" recordCount="36" xr:uid="{625AD460-4CDD-4F16-80B3-C23B70086573}">
  <cacheSource type="worksheet">
    <worksheetSource ref="A1:F37" sheet="BASE"/>
  </cacheSource>
  <cacheFields count="6">
    <cacheField name="Me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Nicho" numFmtId="0">
      <sharedItems count="3">
        <s v="Cloud"/>
        <s v="Produtividade"/>
        <s v="Colaboracao"/>
      </sharedItems>
    </cacheField>
    <cacheField name="Office_Vendas" numFmtId="0">
      <sharedItems containsSemiMixedTypes="0" containsString="0" containsNumber="1" containsInteger="1" minValue="38000" maxValue="62000"/>
    </cacheField>
    <cacheField name="Concorrente_Vendas" numFmtId="0">
      <sharedItems containsSemiMixedTypes="0" containsString="0" containsNumber="1" containsInteger="1" minValue="29000" maxValue="44000"/>
    </cacheField>
    <cacheField name="Mercado_Total" numFmtId="0">
      <sharedItems containsSemiMixedTypes="0" containsString="0" containsNumber="1" containsInteger="1" minValue="78000" maxValue="118000" count="30">
        <n v="85000"/>
        <n v="78000"/>
        <n v="90000"/>
        <n v="88000"/>
        <n v="80000"/>
        <n v="92000"/>
        <n v="91000"/>
        <n v="82000"/>
        <n v="95000"/>
        <n v="93000"/>
        <n v="84000"/>
        <n v="97000"/>
        <n v="96000"/>
        <n v="86000"/>
        <n v="100000"/>
        <n v="98000"/>
        <n v="102000"/>
        <n v="101000"/>
        <n v="105000"/>
        <n v="103000"/>
        <n v="107000"/>
        <n v="106000"/>
        <n v="94000"/>
        <n v="110000"/>
        <n v="108000"/>
        <n v="112000"/>
        <n v="111000"/>
        <n v="115000"/>
        <n v="114000"/>
        <n v="118000"/>
      </sharedItems>
    </cacheField>
    <cacheField name="% Office_Vendas" numFmtId="10">
      <sharedItems containsSemiMixedTypes="0" containsString="0" containsNumber="1" minValue="0.48717948717948717" maxValue="0.52631578947368418" count="33">
        <n v="0.49411764705882355"/>
        <n v="0.48717948717948717"/>
        <n v="0.5"/>
        <n v="0.48749999999999999"/>
        <n v="0.50549450549450547"/>
        <n v="0.48780487804878048"/>
        <n v="0.50526315789473686"/>
        <n v="0.5053763440860215"/>
        <n v="0.48809523809523808"/>
        <n v="0.50515463917525771"/>
        <n v="0.51041666666666663"/>
        <n v="0.48837209302325579"/>
        <n v="0.51"/>
        <n v="0.51020408163265307"/>
        <n v="0.48863636363636365"/>
        <n v="0.50980392156862742"/>
        <n v="0.51485148514851486"/>
        <n v="0.48888888888888887"/>
        <n v="0.51428571428571423"/>
        <n v="0.5145631067961165"/>
        <n v="0.4891304347826087"/>
        <n v="0.51401869158878499"/>
        <n v="0.51886792452830188"/>
        <n v="0.48936170212765956"/>
        <n v="0.51818181818181819"/>
        <n v="0.51851851851851849"/>
        <n v="0.48958333333333331"/>
        <n v="0.5178571428571429"/>
        <n v="0.52252252252252251"/>
        <n v="0.48979591836734693"/>
        <n v="0.52173913043478259"/>
        <n v="0.52631578947368418"/>
        <n v="0.52542372881355937"/>
      </sharedItems>
    </cacheField>
  </cacheFields>
  <extLst>
    <ext xmlns:x14="http://schemas.microsoft.com/office/spreadsheetml/2009/9/main" uri="{725AE2AE-9491-48be-B2B4-4EB974FC3084}">
      <x14:pivotCacheDefinition pivotCacheId="14897712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42000"/>
    <n v="31000"/>
    <x v="0"/>
    <x v="0"/>
  </r>
  <r>
    <x v="0"/>
    <x v="1"/>
    <n v="38000"/>
    <n v="29000"/>
    <x v="1"/>
    <x v="1"/>
  </r>
  <r>
    <x v="0"/>
    <x v="2"/>
    <n v="45000"/>
    <n v="33000"/>
    <x v="2"/>
    <x v="2"/>
  </r>
  <r>
    <x v="1"/>
    <x v="0"/>
    <n v="44000"/>
    <n v="32000"/>
    <x v="3"/>
    <x v="2"/>
  </r>
  <r>
    <x v="1"/>
    <x v="1"/>
    <n v="39000"/>
    <n v="30000"/>
    <x v="4"/>
    <x v="3"/>
  </r>
  <r>
    <x v="1"/>
    <x v="2"/>
    <n v="46000"/>
    <n v="34000"/>
    <x v="5"/>
    <x v="2"/>
  </r>
  <r>
    <x v="2"/>
    <x v="0"/>
    <n v="46000"/>
    <n v="33000"/>
    <x v="6"/>
    <x v="4"/>
  </r>
  <r>
    <x v="2"/>
    <x v="1"/>
    <n v="40000"/>
    <n v="31000"/>
    <x v="7"/>
    <x v="5"/>
  </r>
  <r>
    <x v="2"/>
    <x v="2"/>
    <n v="48000"/>
    <n v="35000"/>
    <x v="8"/>
    <x v="6"/>
  </r>
  <r>
    <x v="3"/>
    <x v="0"/>
    <n v="47000"/>
    <n v="34000"/>
    <x v="9"/>
    <x v="7"/>
  </r>
  <r>
    <x v="3"/>
    <x v="1"/>
    <n v="41000"/>
    <n v="32000"/>
    <x v="10"/>
    <x v="8"/>
  </r>
  <r>
    <x v="3"/>
    <x v="2"/>
    <n v="49000"/>
    <n v="36000"/>
    <x v="11"/>
    <x v="9"/>
  </r>
  <r>
    <x v="4"/>
    <x v="0"/>
    <n v="49000"/>
    <n v="35000"/>
    <x v="12"/>
    <x v="10"/>
  </r>
  <r>
    <x v="4"/>
    <x v="1"/>
    <n v="42000"/>
    <n v="33000"/>
    <x v="13"/>
    <x v="11"/>
  </r>
  <r>
    <x v="4"/>
    <x v="2"/>
    <n v="51000"/>
    <n v="37000"/>
    <x v="14"/>
    <x v="12"/>
  </r>
  <r>
    <x v="5"/>
    <x v="0"/>
    <n v="50000"/>
    <n v="36000"/>
    <x v="15"/>
    <x v="13"/>
  </r>
  <r>
    <x v="5"/>
    <x v="1"/>
    <n v="43000"/>
    <n v="34000"/>
    <x v="3"/>
    <x v="14"/>
  </r>
  <r>
    <x v="5"/>
    <x v="2"/>
    <n v="52000"/>
    <n v="38000"/>
    <x v="16"/>
    <x v="15"/>
  </r>
  <r>
    <x v="6"/>
    <x v="0"/>
    <n v="52000"/>
    <n v="37000"/>
    <x v="17"/>
    <x v="16"/>
  </r>
  <r>
    <x v="6"/>
    <x v="1"/>
    <n v="44000"/>
    <n v="35000"/>
    <x v="2"/>
    <x v="17"/>
  </r>
  <r>
    <x v="6"/>
    <x v="2"/>
    <n v="54000"/>
    <n v="39000"/>
    <x v="18"/>
    <x v="18"/>
  </r>
  <r>
    <x v="7"/>
    <x v="0"/>
    <n v="53000"/>
    <n v="38000"/>
    <x v="19"/>
    <x v="19"/>
  </r>
  <r>
    <x v="7"/>
    <x v="1"/>
    <n v="45000"/>
    <n v="36000"/>
    <x v="5"/>
    <x v="20"/>
  </r>
  <r>
    <x v="7"/>
    <x v="2"/>
    <n v="55000"/>
    <n v="40000"/>
    <x v="20"/>
    <x v="21"/>
  </r>
  <r>
    <x v="8"/>
    <x v="0"/>
    <n v="55000"/>
    <n v="39000"/>
    <x v="21"/>
    <x v="22"/>
  </r>
  <r>
    <x v="8"/>
    <x v="1"/>
    <n v="46000"/>
    <n v="37000"/>
    <x v="22"/>
    <x v="23"/>
  </r>
  <r>
    <x v="8"/>
    <x v="2"/>
    <n v="57000"/>
    <n v="41000"/>
    <x v="23"/>
    <x v="24"/>
  </r>
  <r>
    <x v="9"/>
    <x v="0"/>
    <n v="56000"/>
    <n v="40000"/>
    <x v="24"/>
    <x v="25"/>
  </r>
  <r>
    <x v="9"/>
    <x v="1"/>
    <n v="47000"/>
    <n v="38000"/>
    <x v="12"/>
    <x v="26"/>
  </r>
  <r>
    <x v="9"/>
    <x v="2"/>
    <n v="58000"/>
    <n v="42000"/>
    <x v="25"/>
    <x v="27"/>
  </r>
  <r>
    <x v="10"/>
    <x v="0"/>
    <n v="58000"/>
    <n v="41000"/>
    <x v="26"/>
    <x v="28"/>
  </r>
  <r>
    <x v="10"/>
    <x v="1"/>
    <n v="48000"/>
    <n v="39000"/>
    <x v="15"/>
    <x v="29"/>
  </r>
  <r>
    <x v="10"/>
    <x v="2"/>
    <n v="60000"/>
    <n v="43000"/>
    <x v="27"/>
    <x v="30"/>
  </r>
  <r>
    <x v="11"/>
    <x v="0"/>
    <n v="60000"/>
    <n v="42000"/>
    <x v="28"/>
    <x v="31"/>
  </r>
  <r>
    <x v="11"/>
    <x v="1"/>
    <n v="50000"/>
    <n v="40000"/>
    <x v="14"/>
    <x v="2"/>
  </r>
  <r>
    <x v="11"/>
    <x v="2"/>
    <n v="62000"/>
    <n v="44000"/>
    <x v="29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FBD23-84A8-41B0-B9EC-0B9469912EF1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1">
  <location ref="A3:J7" firstHeaderRow="1" firstDataRow="3" firstDataCol="1"/>
  <pivotFields count="6">
    <pivotField axis="axisRow"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Col" showAll="0">
      <items count="4">
        <item h="1" x="0"/>
        <item x="2"/>
        <item x="1"/>
        <item t="default"/>
      </items>
    </pivotField>
    <pivotField dataField="1" showAll="0"/>
    <pivotField showAll="0"/>
    <pivotField dataField="1" showAll="0">
      <items count="31">
        <item x="1"/>
        <item x="4"/>
        <item x="7"/>
        <item x="10"/>
        <item x="0"/>
        <item x="13"/>
        <item x="3"/>
        <item x="2"/>
        <item x="6"/>
        <item x="5"/>
        <item x="9"/>
        <item x="22"/>
        <item x="8"/>
        <item x="12"/>
        <item x="11"/>
        <item x="15"/>
        <item x="14"/>
        <item x="17"/>
        <item x="16"/>
        <item x="19"/>
        <item x="18"/>
        <item x="21"/>
        <item x="20"/>
        <item x="24"/>
        <item x="23"/>
        <item x="26"/>
        <item x="25"/>
        <item x="28"/>
        <item x="27"/>
        <item x="29"/>
        <item t="default"/>
      </items>
    </pivotField>
    <pivotField dataField="1" numFmtId="10" showAll="0">
      <items count="34">
        <item x="1"/>
        <item x="3"/>
        <item x="5"/>
        <item x="8"/>
        <item x="11"/>
        <item x="14"/>
        <item x="17"/>
        <item x="20"/>
        <item x="23"/>
        <item x="26"/>
        <item x="29"/>
        <item x="0"/>
        <item x="2"/>
        <item x="9"/>
        <item x="6"/>
        <item x="7"/>
        <item x="4"/>
        <item x="15"/>
        <item x="12"/>
        <item x="13"/>
        <item x="10"/>
        <item x="21"/>
        <item x="18"/>
        <item x="19"/>
        <item x="16"/>
        <item x="27"/>
        <item x="24"/>
        <item x="25"/>
        <item x="22"/>
        <item x="30"/>
        <item x="28"/>
        <item x="32"/>
        <item x="31"/>
        <item t="default"/>
      </items>
    </pivotField>
  </pivotFields>
  <rowFields count="1">
    <field x="0"/>
  </rowFields>
  <rowItems count="2">
    <i>
      <x v="1"/>
    </i>
    <i t="grand">
      <x/>
    </i>
  </rowItems>
  <colFields count="2">
    <field x="-2"/>
    <field x="1"/>
  </colFields>
  <colItems count="9">
    <i>
      <x/>
      <x v="1"/>
    </i>
    <i r="1">
      <x v="2"/>
    </i>
    <i i="1">
      <x v="1"/>
      <x v="1"/>
    </i>
    <i r="1" i="1">
      <x v="2"/>
    </i>
    <i i="2">
      <x v="2"/>
      <x v="1"/>
    </i>
    <i r="1" i="2">
      <x v="2"/>
    </i>
    <i t="grand">
      <x/>
    </i>
    <i t="grand" i="1">
      <x/>
    </i>
    <i t="grand" i="2">
      <x/>
    </i>
  </colItems>
  <dataFields count="3">
    <dataField name="Soma de Mercado_Total" fld="4" baseField="0" baseItem="0"/>
    <dataField name="Soma de % Office_Vendas" fld="5" baseField="0" baseItem="0" numFmtId="10"/>
    <dataField name="Soma de Office_Vendas" fld="2" baseField="0" baseItem="0"/>
  </dataFields>
  <chartFormats count="1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7" format="2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7" format="2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7" format="2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37" format="2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A3E3-E72B-457C-AB39-E6F493FFA917}">
  <dimension ref="B1:C4"/>
  <sheetViews>
    <sheetView workbookViewId="0">
      <selection activeCell="K16" sqref="K16"/>
    </sheetView>
  </sheetViews>
  <sheetFormatPr defaultRowHeight="15.75" x14ac:dyDescent="0.25"/>
  <cols>
    <col min="2" max="2" width="15.125" customWidth="1"/>
  </cols>
  <sheetData>
    <row r="1" spans="2:3" x14ac:dyDescent="0.25">
      <c r="B1" s="1" t="s">
        <v>24</v>
      </c>
      <c r="C1" t="s">
        <v>20</v>
      </c>
    </row>
    <row r="2" spans="2:3" x14ac:dyDescent="0.25">
      <c r="B2" s="1" t="s">
        <v>25</v>
      </c>
      <c r="C2" t="s">
        <v>21</v>
      </c>
    </row>
    <row r="3" spans="2:3" x14ac:dyDescent="0.25">
      <c r="B3" s="2" t="s">
        <v>26</v>
      </c>
      <c r="C3" t="s">
        <v>22</v>
      </c>
    </row>
    <row r="4" spans="2:3" x14ac:dyDescent="0.25">
      <c r="B4" s="2" t="s">
        <v>27</v>
      </c>
      <c r="C4" t="s">
        <v>23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AAC2-B1A6-4165-81DB-2C40DC4FF5CB}">
  <dimension ref="A3:J7"/>
  <sheetViews>
    <sheetView topLeftCell="A2" workbookViewId="0">
      <selection activeCell="K16" sqref="K16"/>
    </sheetView>
  </sheetViews>
  <sheetFormatPr defaultRowHeight="15.75" x14ac:dyDescent="0.25"/>
  <cols>
    <col min="1" max="1" width="16.25" bestFit="1" customWidth="1"/>
    <col min="2" max="2" width="20.5" bestFit="1" customWidth="1"/>
    <col min="3" max="3" width="12.125" bestFit="1" customWidth="1"/>
    <col min="4" max="4" width="22.5" bestFit="1" customWidth="1"/>
    <col min="5" max="5" width="12.125" bestFit="1" customWidth="1"/>
    <col min="6" max="6" width="20.5" bestFit="1" customWidth="1"/>
    <col min="7" max="7" width="12.125" bestFit="1" customWidth="1"/>
    <col min="8" max="8" width="25" bestFit="1" customWidth="1"/>
    <col min="9" max="9" width="27" bestFit="1" customWidth="1"/>
    <col min="10" max="10" width="25" bestFit="1" customWidth="1"/>
  </cols>
  <sheetData>
    <row r="3" spans="1:10" x14ac:dyDescent="0.25">
      <c r="B3" s="3" t="s">
        <v>32</v>
      </c>
    </row>
    <row r="4" spans="1:10" x14ac:dyDescent="0.25">
      <c r="B4" t="s">
        <v>29</v>
      </c>
      <c r="D4" t="s">
        <v>36</v>
      </c>
      <c r="F4" t="s">
        <v>28</v>
      </c>
      <c r="H4" t="s">
        <v>34</v>
      </c>
      <c r="I4" t="s">
        <v>37</v>
      </c>
      <c r="J4" t="s">
        <v>33</v>
      </c>
    </row>
    <row r="5" spans="1:10" x14ac:dyDescent="0.25">
      <c r="A5" s="3" t="s">
        <v>30</v>
      </c>
      <c r="B5" t="s">
        <v>8</v>
      </c>
      <c r="C5" t="s">
        <v>7</v>
      </c>
      <c r="D5" t="s">
        <v>8</v>
      </c>
      <c r="E5" t="s">
        <v>7</v>
      </c>
      <c r="F5" t="s">
        <v>8</v>
      </c>
      <c r="G5" t="s">
        <v>7</v>
      </c>
    </row>
    <row r="6" spans="1:10" x14ac:dyDescent="0.25">
      <c r="A6" s="4" t="s">
        <v>9</v>
      </c>
      <c r="B6">
        <v>92000</v>
      </c>
      <c r="C6">
        <v>80000</v>
      </c>
      <c r="D6" s="5">
        <v>0.5</v>
      </c>
      <c r="E6" s="5">
        <v>0.48749999999999999</v>
      </c>
      <c r="F6">
        <v>46000</v>
      </c>
      <c r="G6">
        <v>39000</v>
      </c>
      <c r="H6">
        <v>172000</v>
      </c>
      <c r="I6" s="5">
        <v>0.98750000000000004</v>
      </c>
      <c r="J6">
        <v>85000</v>
      </c>
    </row>
    <row r="7" spans="1:10" x14ac:dyDescent="0.25">
      <c r="A7" s="4" t="s">
        <v>31</v>
      </c>
      <c r="B7">
        <v>92000</v>
      </c>
      <c r="C7">
        <v>80000</v>
      </c>
      <c r="D7" s="5">
        <v>0.5</v>
      </c>
      <c r="E7" s="5">
        <v>0.48749999999999999</v>
      </c>
      <c r="F7">
        <v>46000</v>
      </c>
      <c r="G7">
        <v>39000</v>
      </c>
      <c r="H7">
        <v>172000</v>
      </c>
      <c r="I7" s="5">
        <v>0.98750000000000004</v>
      </c>
      <c r="J7">
        <v>85000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F924-368E-4319-80A8-F279D302396F}">
  <dimension ref="A1:F37"/>
  <sheetViews>
    <sheetView zoomScaleNormal="100" workbookViewId="0">
      <selection activeCell="K16" sqref="K16"/>
    </sheetView>
  </sheetViews>
  <sheetFormatPr defaultRowHeight="15.75" x14ac:dyDescent="0.25"/>
  <cols>
    <col min="2" max="2" width="14.375" customWidth="1"/>
    <col min="3" max="3" width="18.5" customWidth="1"/>
    <col min="4" max="4" width="18.375" customWidth="1"/>
    <col min="5" max="5" width="21.5" customWidth="1"/>
    <col min="6" max="6" width="18.625" customWidth="1"/>
    <col min="7" max="7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</row>
    <row r="2" spans="1:6" x14ac:dyDescent="0.25">
      <c r="A2" t="s">
        <v>5</v>
      </c>
      <c r="B2" t="s">
        <v>6</v>
      </c>
      <c r="C2">
        <v>42000</v>
      </c>
      <c r="D2">
        <v>31000</v>
      </c>
      <c r="E2">
        <v>85000</v>
      </c>
      <c r="F2" s="5">
        <f>C2/E2</f>
        <v>0.49411764705882355</v>
      </c>
    </row>
    <row r="3" spans="1:6" x14ac:dyDescent="0.25">
      <c r="A3" t="s">
        <v>5</v>
      </c>
      <c r="B3" t="s">
        <v>7</v>
      </c>
      <c r="C3">
        <v>38000</v>
      </c>
      <c r="D3">
        <v>29000</v>
      </c>
      <c r="E3">
        <v>78000</v>
      </c>
      <c r="F3" s="5">
        <f t="shared" ref="F3:F37" si="0">C3/E3</f>
        <v>0.48717948717948717</v>
      </c>
    </row>
    <row r="4" spans="1:6" x14ac:dyDescent="0.25">
      <c r="A4" t="s">
        <v>5</v>
      </c>
      <c r="B4" t="s">
        <v>8</v>
      </c>
      <c r="C4">
        <v>45000</v>
      </c>
      <c r="D4">
        <v>33000</v>
      </c>
      <c r="E4">
        <v>90000</v>
      </c>
      <c r="F4" s="5">
        <f t="shared" si="0"/>
        <v>0.5</v>
      </c>
    </row>
    <row r="5" spans="1:6" x14ac:dyDescent="0.25">
      <c r="A5" t="s">
        <v>9</v>
      </c>
      <c r="B5" t="s">
        <v>6</v>
      </c>
      <c r="C5">
        <v>44000</v>
      </c>
      <c r="D5">
        <v>32000</v>
      </c>
      <c r="E5">
        <v>88000</v>
      </c>
      <c r="F5" s="5">
        <f t="shared" si="0"/>
        <v>0.5</v>
      </c>
    </row>
    <row r="6" spans="1:6" x14ac:dyDescent="0.25">
      <c r="A6" t="s">
        <v>9</v>
      </c>
      <c r="B6" t="s">
        <v>7</v>
      </c>
      <c r="C6">
        <v>39000</v>
      </c>
      <c r="D6">
        <v>30000</v>
      </c>
      <c r="E6">
        <v>80000</v>
      </c>
      <c r="F6" s="5">
        <f t="shared" si="0"/>
        <v>0.48749999999999999</v>
      </c>
    </row>
    <row r="7" spans="1:6" x14ac:dyDescent="0.25">
      <c r="A7" t="s">
        <v>9</v>
      </c>
      <c r="B7" t="s">
        <v>8</v>
      </c>
      <c r="C7">
        <v>46000</v>
      </c>
      <c r="D7">
        <v>34000</v>
      </c>
      <c r="E7">
        <v>92000</v>
      </c>
      <c r="F7" s="5">
        <f t="shared" si="0"/>
        <v>0.5</v>
      </c>
    </row>
    <row r="8" spans="1:6" x14ac:dyDescent="0.25">
      <c r="A8" t="s">
        <v>10</v>
      </c>
      <c r="B8" t="s">
        <v>6</v>
      </c>
      <c r="C8">
        <v>46000</v>
      </c>
      <c r="D8">
        <v>33000</v>
      </c>
      <c r="E8">
        <v>91000</v>
      </c>
      <c r="F8" s="5">
        <f t="shared" si="0"/>
        <v>0.50549450549450547</v>
      </c>
    </row>
    <row r="9" spans="1:6" x14ac:dyDescent="0.25">
      <c r="A9" t="s">
        <v>10</v>
      </c>
      <c r="B9" t="s">
        <v>7</v>
      </c>
      <c r="C9">
        <v>40000</v>
      </c>
      <c r="D9">
        <v>31000</v>
      </c>
      <c r="E9">
        <v>82000</v>
      </c>
      <c r="F9" s="5">
        <f t="shared" si="0"/>
        <v>0.48780487804878048</v>
      </c>
    </row>
    <row r="10" spans="1:6" x14ac:dyDescent="0.25">
      <c r="A10" t="s">
        <v>10</v>
      </c>
      <c r="B10" t="s">
        <v>8</v>
      </c>
      <c r="C10">
        <v>48000</v>
      </c>
      <c r="D10">
        <v>35000</v>
      </c>
      <c r="E10">
        <v>95000</v>
      </c>
      <c r="F10" s="5">
        <f t="shared" si="0"/>
        <v>0.50526315789473686</v>
      </c>
    </row>
    <row r="11" spans="1:6" x14ac:dyDescent="0.25">
      <c r="A11" t="s">
        <v>11</v>
      </c>
      <c r="B11" t="s">
        <v>6</v>
      </c>
      <c r="C11">
        <v>47000</v>
      </c>
      <c r="D11">
        <v>34000</v>
      </c>
      <c r="E11">
        <v>93000</v>
      </c>
      <c r="F11" s="5">
        <f t="shared" si="0"/>
        <v>0.5053763440860215</v>
      </c>
    </row>
    <row r="12" spans="1:6" x14ac:dyDescent="0.25">
      <c r="A12" t="s">
        <v>11</v>
      </c>
      <c r="B12" t="s">
        <v>7</v>
      </c>
      <c r="C12">
        <v>41000</v>
      </c>
      <c r="D12">
        <v>32000</v>
      </c>
      <c r="E12">
        <v>84000</v>
      </c>
      <c r="F12" s="5">
        <f t="shared" si="0"/>
        <v>0.48809523809523808</v>
      </c>
    </row>
    <row r="13" spans="1:6" x14ac:dyDescent="0.25">
      <c r="A13" t="s">
        <v>11</v>
      </c>
      <c r="B13" t="s">
        <v>8</v>
      </c>
      <c r="C13">
        <v>49000</v>
      </c>
      <c r="D13">
        <v>36000</v>
      </c>
      <c r="E13">
        <v>97000</v>
      </c>
      <c r="F13" s="5">
        <f t="shared" si="0"/>
        <v>0.50515463917525771</v>
      </c>
    </row>
    <row r="14" spans="1:6" x14ac:dyDescent="0.25">
      <c r="A14" t="s">
        <v>12</v>
      </c>
      <c r="B14" t="s">
        <v>6</v>
      </c>
      <c r="C14">
        <v>49000</v>
      </c>
      <c r="D14">
        <v>35000</v>
      </c>
      <c r="E14">
        <v>96000</v>
      </c>
      <c r="F14" s="5">
        <f t="shared" si="0"/>
        <v>0.51041666666666663</v>
      </c>
    </row>
    <row r="15" spans="1:6" x14ac:dyDescent="0.25">
      <c r="A15" t="s">
        <v>12</v>
      </c>
      <c r="B15" t="s">
        <v>7</v>
      </c>
      <c r="C15">
        <v>42000</v>
      </c>
      <c r="D15">
        <v>33000</v>
      </c>
      <c r="E15">
        <v>86000</v>
      </c>
      <c r="F15" s="5">
        <f t="shared" si="0"/>
        <v>0.48837209302325579</v>
      </c>
    </row>
    <row r="16" spans="1:6" x14ac:dyDescent="0.25">
      <c r="A16" t="s">
        <v>12</v>
      </c>
      <c r="B16" t="s">
        <v>8</v>
      </c>
      <c r="C16">
        <v>51000</v>
      </c>
      <c r="D16">
        <v>37000</v>
      </c>
      <c r="E16">
        <v>100000</v>
      </c>
      <c r="F16" s="5">
        <f t="shared" si="0"/>
        <v>0.51</v>
      </c>
    </row>
    <row r="17" spans="1:6" x14ac:dyDescent="0.25">
      <c r="A17" t="s">
        <v>13</v>
      </c>
      <c r="B17" t="s">
        <v>6</v>
      </c>
      <c r="C17">
        <v>50000</v>
      </c>
      <c r="D17">
        <v>36000</v>
      </c>
      <c r="E17">
        <v>98000</v>
      </c>
      <c r="F17" s="5">
        <f t="shared" si="0"/>
        <v>0.51020408163265307</v>
      </c>
    </row>
    <row r="18" spans="1:6" x14ac:dyDescent="0.25">
      <c r="A18" t="s">
        <v>13</v>
      </c>
      <c r="B18" t="s">
        <v>7</v>
      </c>
      <c r="C18">
        <v>43000</v>
      </c>
      <c r="D18">
        <v>34000</v>
      </c>
      <c r="E18">
        <v>88000</v>
      </c>
      <c r="F18" s="5">
        <f t="shared" si="0"/>
        <v>0.48863636363636365</v>
      </c>
    </row>
    <row r="19" spans="1:6" x14ac:dyDescent="0.25">
      <c r="A19" t="s">
        <v>13</v>
      </c>
      <c r="B19" t="s">
        <v>8</v>
      </c>
      <c r="C19">
        <v>52000</v>
      </c>
      <c r="D19">
        <v>38000</v>
      </c>
      <c r="E19">
        <v>102000</v>
      </c>
      <c r="F19" s="5">
        <f t="shared" si="0"/>
        <v>0.50980392156862742</v>
      </c>
    </row>
    <row r="20" spans="1:6" x14ac:dyDescent="0.25">
      <c r="A20" t="s">
        <v>14</v>
      </c>
      <c r="B20" t="s">
        <v>6</v>
      </c>
      <c r="C20">
        <v>52000</v>
      </c>
      <c r="D20">
        <v>37000</v>
      </c>
      <c r="E20">
        <v>101000</v>
      </c>
      <c r="F20" s="5">
        <f t="shared" si="0"/>
        <v>0.51485148514851486</v>
      </c>
    </row>
    <row r="21" spans="1:6" x14ac:dyDescent="0.25">
      <c r="A21" t="s">
        <v>14</v>
      </c>
      <c r="B21" t="s">
        <v>7</v>
      </c>
      <c r="C21">
        <v>44000</v>
      </c>
      <c r="D21">
        <v>35000</v>
      </c>
      <c r="E21">
        <v>90000</v>
      </c>
      <c r="F21" s="5">
        <f t="shared" si="0"/>
        <v>0.48888888888888887</v>
      </c>
    </row>
    <row r="22" spans="1:6" x14ac:dyDescent="0.25">
      <c r="A22" t="s">
        <v>14</v>
      </c>
      <c r="B22" t="s">
        <v>8</v>
      </c>
      <c r="C22">
        <v>54000</v>
      </c>
      <c r="D22">
        <v>39000</v>
      </c>
      <c r="E22">
        <v>105000</v>
      </c>
      <c r="F22" s="5">
        <f t="shared" si="0"/>
        <v>0.51428571428571423</v>
      </c>
    </row>
    <row r="23" spans="1:6" x14ac:dyDescent="0.25">
      <c r="A23" t="s">
        <v>15</v>
      </c>
      <c r="B23" t="s">
        <v>6</v>
      </c>
      <c r="C23">
        <v>53000</v>
      </c>
      <c r="D23">
        <v>38000</v>
      </c>
      <c r="E23">
        <v>103000</v>
      </c>
      <c r="F23" s="5">
        <f t="shared" si="0"/>
        <v>0.5145631067961165</v>
      </c>
    </row>
    <row r="24" spans="1:6" x14ac:dyDescent="0.25">
      <c r="A24" t="s">
        <v>15</v>
      </c>
      <c r="B24" t="s">
        <v>7</v>
      </c>
      <c r="C24">
        <v>45000</v>
      </c>
      <c r="D24">
        <v>36000</v>
      </c>
      <c r="E24">
        <v>92000</v>
      </c>
      <c r="F24" s="5">
        <f t="shared" si="0"/>
        <v>0.4891304347826087</v>
      </c>
    </row>
    <row r="25" spans="1:6" x14ac:dyDescent="0.25">
      <c r="A25" t="s">
        <v>15</v>
      </c>
      <c r="B25" t="s">
        <v>8</v>
      </c>
      <c r="C25">
        <v>55000</v>
      </c>
      <c r="D25">
        <v>40000</v>
      </c>
      <c r="E25">
        <v>107000</v>
      </c>
      <c r="F25" s="5">
        <f t="shared" si="0"/>
        <v>0.51401869158878499</v>
      </c>
    </row>
    <row r="26" spans="1:6" x14ac:dyDescent="0.25">
      <c r="A26" t="s">
        <v>16</v>
      </c>
      <c r="B26" t="s">
        <v>6</v>
      </c>
      <c r="C26">
        <v>55000</v>
      </c>
      <c r="D26">
        <v>39000</v>
      </c>
      <c r="E26">
        <v>106000</v>
      </c>
      <c r="F26" s="5">
        <f t="shared" si="0"/>
        <v>0.51886792452830188</v>
      </c>
    </row>
    <row r="27" spans="1:6" x14ac:dyDescent="0.25">
      <c r="A27" t="s">
        <v>16</v>
      </c>
      <c r="B27" t="s">
        <v>7</v>
      </c>
      <c r="C27">
        <v>46000</v>
      </c>
      <c r="D27">
        <v>37000</v>
      </c>
      <c r="E27">
        <v>94000</v>
      </c>
      <c r="F27" s="5">
        <f t="shared" si="0"/>
        <v>0.48936170212765956</v>
      </c>
    </row>
    <row r="28" spans="1:6" x14ac:dyDescent="0.25">
      <c r="A28" t="s">
        <v>16</v>
      </c>
      <c r="B28" t="s">
        <v>8</v>
      </c>
      <c r="C28">
        <v>57000</v>
      </c>
      <c r="D28">
        <v>41000</v>
      </c>
      <c r="E28">
        <v>110000</v>
      </c>
      <c r="F28" s="5">
        <f t="shared" si="0"/>
        <v>0.51818181818181819</v>
      </c>
    </row>
    <row r="29" spans="1:6" x14ac:dyDescent="0.25">
      <c r="A29" t="s">
        <v>17</v>
      </c>
      <c r="B29" t="s">
        <v>6</v>
      </c>
      <c r="C29">
        <v>56000</v>
      </c>
      <c r="D29">
        <v>40000</v>
      </c>
      <c r="E29">
        <v>108000</v>
      </c>
      <c r="F29" s="5">
        <f t="shared" si="0"/>
        <v>0.51851851851851849</v>
      </c>
    </row>
    <row r="30" spans="1:6" x14ac:dyDescent="0.25">
      <c r="A30" t="s">
        <v>17</v>
      </c>
      <c r="B30" t="s">
        <v>7</v>
      </c>
      <c r="C30">
        <v>47000</v>
      </c>
      <c r="D30">
        <v>38000</v>
      </c>
      <c r="E30">
        <v>96000</v>
      </c>
      <c r="F30" s="5">
        <f t="shared" si="0"/>
        <v>0.48958333333333331</v>
      </c>
    </row>
    <row r="31" spans="1:6" x14ac:dyDescent="0.25">
      <c r="A31" t="s">
        <v>17</v>
      </c>
      <c r="B31" t="s">
        <v>8</v>
      </c>
      <c r="C31">
        <v>58000</v>
      </c>
      <c r="D31">
        <v>42000</v>
      </c>
      <c r="E31">
        <v>112000</v>
      </c>
      <c r="F31" s="5">
        <f t="shared" si="0"/>
        <v>0.5178571428571429</v>
      </c>
    </row>
    <row r="32" spans="1:6" x14ac:dyDescent="0.25">
      <c r="A32" t="s">
        <v>18</v>
      </c>
      <c r="B32" t="s">
        <v>6</v>
      </c>
      <c r="C32">
        <v>58000</v>
      </c>
      <c r="D32">
        <v>41000</v>
      </c>
      <c r="E32">
        <v>111000</v>
      </c>
      <c r="F32" s="5">
        <f t="shared" si="0"/>
        <v>0.52252252252252251</v>
      </c>
    </row>
    <row r="33" spans="1:6" x14ac:dyDescent="0.25">
      <c r="A33" t="s">
        <v>18</v>
      </c>
      <c r="B33" t="s">
        <v>7</v>
      </c>
      <c r="C33">
        <v>48000</v>
      </c>
      <c r="D33">
        <v>39000</v>
      </c>
      <c r="E33">
        <v>98000</v>
      </c>
      <c r="F33" s="5">
        <f t="shared" si="0"/>
        <v>0.48979591836734693</v>
      </c>
    </row>
    <row r="34" spans="1:6" x14ac:dyDescent="0.25">
      <c r="A34" t="s">
        <v>18</v>
      </c>
      <c r="B34" t="s">
        <v>8</v>
      </c>
      <c r="C34">
        <v>60000</v>
      </c>
      <c r="D34">
        <v>43000</v>
      </c>
      <c r="E34">
        <v>115000</v>
      </c>
      <c r="F34" s="5">
        <f t="shared" si="0"/>
        <v>0.52173913043478259</v>
      </c>
    </row>
    <row r="35" spans="1:6" x14ac:dyDescent="0.25">
      <c r="A35" t="s">
        <v>19</v>
      </c>
      <c r="B35" t="s">
        <v>6</v>
      </c>
      <c r="C35">
        <v>60000</v>
      </c>
      <c r="D35">
        <v>42000</v>
      </c>
      <c r="E35">
        <v>114000</v>
      </c>
      <c r="F35" s="5">
        <f t="shared" si="0"/>
        <v>0.52631578947368418</v>
      </c>
    </row>
    <row r="36" spans="1:6" x14ac:dyDescent="0.25">
      <c r="A36" t="s">
        <v>19</v>
      </c>
      <c r="B36" t="s">
        <v>7</v>
      </c>
      <c r="C36">
        <v>50000</v>
      </c>
      <c r="D36">
        <v>40000</v>
      </c>
      <c r="E36">
        <v>100000</v>
      </c>
      <c r="F36" s="5">
        <f t="shared" si="0"/>
        <v>0.5</v>
      </c>
    </row>
    <row r="37" spans="1:6" x14ac:dyDescent="0.25">
      <c r="A37" t="s">
        <v>19</v>
      </c>
      <c r="B37" t="s">
        <v>8</v>
      </c>
      <c r="C37">
        <v>62000</v>
      </c>
      <c r="D37">
        <v>44000</v>
      </c>
      <c r="E37">
        <v>118000</v>
      </c>
      <c r="F37" s="5">
        <f t="shared" si="0"/>
        <v>0.52542372881355937</v>
      </c>
    </row>
  </sheetData>
  <autoFilter ref="A1:E37" xr:uid="{4DB7F924-368E-4319-80A8-F279D302396F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4812-6480-4F5B-B4FC-CD3EC57E2751}">
  <dimension ref="C1:O37"/>
  <sheetViews>
    <sheetView showGridLines="0" tabSelected="1" workbookViewId="0">
      <selection activeCell="N17" sqref="N17"/>
    </sheetView>
  </sheetViews>
  <sheetFormatPr defaultColWidth="0" defaultRowHeight="15.75" x14ac:dyDescent="0.25"/>
  <cols>
    <col min="1" max="1" width="22.25" customWidth="1"/>
    <col min="2" max="2" width="21.125" customWidth="1"/>
    <col min="3" max="3" width="24.375" customWidth="1"/>
    <col min="4" max="12" width="9"/>
    <col min="13" max="13" width="33.75" customWidth="1"/>
    <col min="14" max="14" width="37.5" customWidth="1"/>
    <col min="15" max="15" width="19.5" customWidth="1"/>
    <col min="16" max="16" width="0" hidden="1" customWidth="1"/>
  </cols>
  <sheetData>
    <row r="1" spans="3:15" s="8" customFormat="1" ht="25.5" customHeight="1" x14ac:dyDescent="0.3">
      <c r="C1" s="7" t="s">
        <v>38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3:15" s="8" customFormat="1" x14ac:dyDescent="0.25">
      <c r="D2" s="9" t="s">
        <v>39</v>
      </c>
      <c r="E2" s="9"/>
      <c r="F2" s="9"/>
      <c r="G2" s="9"/>
      <c r="H2" s="9"/>
      <c r="I2" s="9"/>
      <c r="J2" s="9"/>
      <c r="K2" s="9"/>
      <c r="L2" s="9"/>
      <c r="M2" s="9"/>
      <c r="N2" s="9"/>
    </row>
    <row r="3" spans="3:15" s="8" customFormat="1" x14ac:dyDescent="0.25"/>
    <row r="4" spans="3:15" s="8" customFormat="1" x14ac:dyDescent="0.25"/>
    <row r="5" spans="3:15" s="8" customFormat="1" x14ac:dyDescent="0.25"/>
    <row r="6" spans="3:15" s="8" customFormat="1" x14ac:dyDescent="0.25">
      <c r="O6" s="6"/>
    </row>
    <row r="7" spans="3:15" s="8" customFormat="1" x14ac:dyDescent="0.25">
      <c r="O7" s="6"/>
    </row>
    <row r="8" spans="3:15" s="8" customFormat="1" x14ac:dyDescent="0.25">
      <c r="O8" s="6"/>
    </row>
    <row r="9" spans="3:15" s="8" customFormat="1" x14ac:dyDescent="0.25">
      <c r="O9" s="6"/>
    </row>
    <row r="10" spans="3:15" s="8" customFormat="1" x14ac:dyDescent="0.25">
      <c r="O10" s="6"/>
    </row>
    <row r="11" spans="3:15" s="8" customFormat="1" x14ac:dyDescent="0.25">
      <c r="O11" s="6"/>
    </row>
    <row r="12" spans="3:15" s="8" customFormat="1" x14ac:dyDescent="0.25">
      <c r="O12" s="6"/>
    </row>
    <row r="13" spans="3:15" s="8" customFormat="1" x14ac:dyDescent="0.25">
      <c r="O13" s="6"/>
    </row>
    <row r="14" spans="3:15" s="8" customFormat="1" x14ac:dyDescent="0.25">
      <c r="O14" s="6"/>
    </row>
    <row r="15" spans="3:15" s="8" customFormat="1" x14ac:dyDescent="0.25">
      <c r="O15" s="6"/>
    </row>
    <row r="16" spans="3:15" s="8" customFormat="1" x14ac:dyDescent="0.25">
      <c r="O16" s="6"/>
    </row>
    <row r="17" spans="15:15" s="8" customFormat="1" x14ac:dyDescent="0.25">
      <c r="O17" s="6"/>
    </row>
    <row r="18" spans="15:15" s="8" customFormat="1" x14ac:dyDescent="0.25">
      <c r="O18" s="6"/>
    </row>
    <row r="19" spans="15:15" s="8" customFormat="1" x14ac:dyDescent="0.25">
      <c r="O19" s="6"/>
    </row>
    <row r="20" spans="15:15" s="8" customFormat="1" x14ac:dyDescent="0.25">
      <c r="O20" s="6"/>
    </row>
    <row r="21" spans="15:15" s="8" customFormat="1" x14ac:dyDescent="0.25">
      <c r="O21" s="6"/>
    </row>
    <row r="22" spans="15:15" s="8" customFormat="1" x14ac:dyDescent="0.25">
      <c r="O22" s="6"/>
    </row>
    <row r="23" spans="15:15" s="8" customFormat="1" x14ac:dyDescent="0.25">
      <c r="O23" s="6"/>
    </row>
    <row r="24" spans="15:15" s="8" customFormat="1" x14ac:dyDescent="0.25">
      <c r="O24" s="6"/>
    </row>
    <row r="25" spans="15:15" s="8" customFormat="1" x14ac:dyDescent="0.25">
      <c r="O25" s="6"/>
    </row>
    <row r="26" spans="15:15" s="8" customFormat="1" x14ac:dyDescent="0.25">
      <c r="O26" s="6"/>
    </row>
    <row r="27" spans="15:15" s="8" customFormat="1" x14ac:dyDescent="0.25">
      <c r="O27" s="6"/>
    </row>
    <row r="28" spans="15:15" s="8" customFormat="1" x14ac:dyDescent="0.25">
      <c r="O28" s="6"/>
    </row>
    <row r="29" spans="15:15" s="8" customFormat="1" x14ac:dyDescent="0.25">
      <c r="O29" s="6"/>
    </row>
    <row r="30" spans="15:15" s="8" customFormat="1" x14ac:dyDescent="0.25">
      <c r="O30" s="6"/>
    </row>
    <row r="31" spans="15:15" s="8" customFormat="1" x14ac:dyDescent="0.25">
      <c r="O31" s="6"/>
    </row>
    <row r="32" spans="15:15" s="8" customFormat="1" x14ac:dyDescent="0.25">
      <c r="O32" s="6"/>
    </row>
    <row r="33" spans="15:15" s="8" customFormat="1" x14ac:dyDescent="0.25">
      <c r="O33" s="6"/>
    </row>
    <row r="34" spans="15:15" s="8" customFormat="1" x14ac:dyDescent="0.25">
      <c r="O34" s="6"/>
    </row>
    <row r="35" spans="15:15" s="8" customFormat="1" x14ac:dyDescent="0.25">
      <c r="O35" s="6"/>
    </row>
    <row r="36" spans="15:15" s="8" customFormat="1" x14ac:dyDescent="0.25">
      <c r="O36" s="6"/>
    </row>
    <row r="37" spans="15:15" s="8" customFormat="1" x14ac:dyDescent="0.25">
      <c r="O37" s="6"/>
    </row>
  </sheetData>
  <mergeCells count="2">
    <mergeCell ref="D2:N2"/>
    <mergeCell ref="C1:N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DE4597F-FED3-419D-951D-80AFDA84411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98B35B9-E6CD-43E6-BA7B-C014EB18FCE7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D8E68F99-F70C-4A4A-B150-0F184BA7D884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Planilha4</vt:lpstr>
      <vt:lpstr>BASE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Camargo</dc:creator>
  <cp:lastModifiedBy>Inês Camargo</cp:lastModifiedBy>
  <dcterms:created xsi:type="dcterms:W3CDTF">2025-12-31T00:54:48Z</dcterms:created>
  <dcterms:modified xsi:type="dcterms:W3CDTF">2026-01-04T10:25:48Z</dcterms:modified>
</cp:coreProperties>
</file>